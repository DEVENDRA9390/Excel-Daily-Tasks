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9200" windowHeight="69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9" i="1" l="1"/>
  <c r="J9" i="1"/>
</calcChain>
</file>

<file path=xl/sharedStrings.xml><?xml version="1.0" encoding="utf-8"?>
<sst xmlns="http://schemas.openxmlformats.org/spreadsheetml/2006/main" count="48" uniqueCount="20">
  <si>
    <t>Record a Macro to format the table of any size, with proper Number Formatting</t>
  </si>
  <si>
    <t>And Profit , Profit % calculation</t>
  </si>
  <si>
    <t>Row ID</t>
  </si>
  <si>
    <t>Order Priority</t>
  </si>
  <si>
    <t>High</t>
  </si>
  <si>
    <t>Not Specified</t>
  </si>
  <si>
    <t>Critical</t>
  </si>
  <si>
    <t>Medium</t>
  </si>
  <si>
    <t>Low</t>
  </si>
  <si>
    <t>Profit</t>
  </si>
  <si>
    <t>Quantity ordered</t>
  </si>
  <si>
    <t>Unit Price</t>
  </si>
  <si>
    <t>Shipping Cost</t>
  </si>
  <si>
    <t>Sales amount</t>
  </si>
  <si>
    <t>Product Margin per unit</t>
  </si>
  <si>
    <t>All amounts are in millions.</t>
  </si>
  <si>
    <t>Sales = (Quantity*Unit Price)</t>
  </si>
  <si>
    <t>Profit = (Quantity*Product Margin)-Shipping Cost</t>
  </si>
  <si>
    <t>Note: Assign a Macro as a 'Command' into the 'Custom Tab'</t>
  </si>
  <si>
    <t>profit%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</si>
</sst>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8:K41" totalsRowShown="0" headerRowDxfId="0" headerRowBorderDxfId="11" tableBorderDxfId="12" totalsRowBorderDxfId="10">
  <autoFilter ref="C8:K41"/>
  <tableColumns count="9">
    <tableColumn id="1" name="Row ID" dataDxfId="9"/>
    <tableColumn id="2" name="Order Priority" dataDxfId="8"/>
    <tableColumn id="3" name="Quantity ordered" dataDxfId="7"/>
    <tableColumn id="4" name="Unit Price" dataDxfId="6"/>
    <tableColumn id="5" name="Shipping Cost" dataDxfId="5"/>
    <tableColumn id="6" name="Sales amount" dataDxfId="4">
      <calculatedColumnFormula>(E9*F9)+G9</calculatedColumnFormula>
    </tableColumn>
    <tableColumn id="7" name="Product Margin per unit" dataDxfId="3"/>
    <tableColumn id="8" name="Profit" dataDxfId="2">
      <calculatedColumnFormula>I9*E9-G9</calculatedColumnFormula>
    </tableColumn>
    <tableColumn id="9" name="profit%" dataDxfId="1">
      <calculatedColumnFormula>J9/H9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41"/>
  <sheetViews>
    <sheetView tabSelected="1" topLeftCell="A8" workbookViewId="0">
      <selection activeCell="L17" sqref="L17"/>
    </sheetView>
  </sheetViews>
  <sheetFormatPr defaultRowHeight="14.5" x14ac:dyDescent="0.35"/>
  <cols>
    <col min="4" max="4" width="14.36328125" customWidth="1"/>
    <col min="5" max="5" width="18" bestFit="1" customWidth="1"/>
    <col min="6" max="6" width="10.90625" customWidth="1"/>
    <col min="7" max="7" width="14.08984375" customWidth="1"/>
    <col min="8" max="8" width="18" bestFit="1" customWidth="1"/>
    <col min="9" max="9" width="22.90625" customWidth="1"/>
    <col min="11" max="11" width="9" customWidth="1"/>
  </cols>
  <sheetData>
    <row r="2" spans="3:11" x14ac:dyDescent="0.35">
      <c r="C2" s="1" t="s">
        <v>0</v>
      </c>
      <c r="I2" s="1" t="s">
        <v>18</v>
      </c>
    </row>
    <row r="3" spans="3:11" x14ac:dyDescent="0.35">
      <c r="C3" s="1" t="s">
        <v>1</v>
      </c>
    </row>
    <row r="4" spans="3:11" x14ac:dyDescent="0.35">
      <c r="C4" s="1" t="s">
        <v>15</v>
      </c>
    </row>
    <row r="5" spans="3:11" x14ac:dyDescent="0.35">
      <c r="C5" s="1" t="s">
        <v>16</v>
      </c>
    </row>
    <row r="6" spans="3:11" x14ac:dyDescent="0.35">
      <c r="C6" s="1" t="s">
        <v>17</v>
      </c>
    </row>
    <row r="8" spans="3:11" x14ac:dyDescent="0.35">
      <c r="C8" s="5" t="s">
        <v>2</v>
      </c>
      <c r="D8" s="6" t="s">
        <v>3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9</v>
      </c>
      <c r="K8" s="7" t="s">
        <v>19</v>
      </c>
    </row>
    <row r="9" spans="3:11" x14ac:dyDescent="0.35">
      <c r="C9" s="3">
        <v>20847</v>
      </c>
      <c r="D9" s="2" t="s">
        <v>4</v>
      </c>
      <c r="E9" s="2">
        <v>4</v>
      </c>
      <c r="F9" s="2">
        <v>2.84</v>
      </c>
      <c r="G9" s="2">
        <v>0.93</v>
      </c>
      <c r="H9" s="2">
        <f>(E9*F9)+G9</f>
        <v>12.29</v>
      </c>
      <c r="I9" s="2">
        <v>0.54</v>
      </c>
      <c r="J9" s="2">
        <f>I9*E9-G9</f>
        <v>1.23</v>
      </c>
      <c r="K9" s="4">
        <f>J9/H9</f>
        <v>0.10008136696501221</v>
      </c>
    </row>
    <row r="10" spans="3:11" x14ac:dyDescent="0.35">
      <c r="C10" s="3">
        <v>20228</v>
      </c>
      <c r="D10" s="2" t="s">
        <v>5</v>
      </c>
      <c r="E10" s="2">
        <v>12</v>
      </c>
      <c r="F10" s="2">
        <v>500.98</v>
      </c>
      <c r="G10" s="2">
        <v>26</v>
      </c>
      <c r="H10" s="2">
        <f t="shared" ref="H10:H41" si="0">(E10*F10)+G10</f>
        <v>6037.76</v>
      </c>
      <c r="I10" s="2">
        <v>0.6</v>
      </c>
      <c r="J10" s="2">
        <f t="shared" ref="J10:J41" si="1">I10*E10-G10</f>
        <v>-18.8</v>
      </c>
      <c r="K10" s="4">
        <f t="shared" ref="K10:K41" si="2">J10/H10</f>
        <v>-3.1137375450498196E-3</v>
      </c>
    </row>
    <row r="11" spans="3:11" x14ac:dyDescent="0.35">
      <c r="C11" s="3">
        <v>21776</v>
      </c>
      <c r="D11" s="2" t="s">
        <v>6</v>
      </c>
      <c r="E11" s="2">
        <v>22</v>
      </c>
      <c r="F11" s="2">
        <v>9.48</v>
      </c>
      <c r="G11" s="2">
        <v>7.29</v>
      </c>
      <c r="H11" s="2">
        <f t="shared" si="0"/>
        <v>215.85</v>
      </c>
      <c r="I11" s="2">
        <v>0.45</v>
      </c>
      <c r="J11" s="2">
        <f t="shared" si="1"/>
        <v>2.6100000000000003</v>
      </c>
      <c r="K11" s="4">
        <f t="shared" si="2"/>
        <v>1.209173036831133E-2</v>
      </c>
    </row>
    <row r="12" spans="3:11" x14ac:dyDescent="0.35">
      <c r="C12" s="3">
        <v>24844</v>
      </c>
      <c r="D12" s="2" t="s">
        <v>7</v>
      </c>
      <c r="E12" s="2">
        <v>16</v>
      </c>
      <c r="F12" s="2">
        <v>78.69</v>
      </c>
      <c r="G12" s="2">
        <v>19.989999999999998</v>
      </c>
      <c r="H12" s="2">
        <f t="shared" si="0"/>
        <v>1279.03</v>
      </c>
      <c r="I12" s="2">
        <v>0.43</v>
      </c>
      <c r="J12" s="2">
        <f t="shared" si="1"/>
        <v>-13.11</v>
      </c>
      <c r="K12" s="4">
        <f t="shared" si="2"/>
        <v>-1.0249955044056824E-2</v>
      </c>
    </row>
    <row r="13" spans="3:11" x14ac:dyDescent="0.35">
      <c r="C13" s="3">
        <v>24846</v>
      </c>
      <c r="D13" s="2" t="s">
        <v>7</v>
      </c>
      <c r="E13" s="2">
        <v>7</v>
      </c>
      <c r="F13" s="2">
        <v>3.28</v>
      </c>
      <c r="G13" s="2">
        <v>2.31</v>
      </c>
      <c r="H13" s="2">
        <f t="shared" si="0"/>
        <v>25.269999999999996</v>
      </c>
      <c r="I13" s="2">
        <v>0.56000000000000005</v>
      </c>
      <c r="J13" s="2">
        <f t="shared" si="1"/>
        <v>1.6100000000000003</v>
      </c>
      <c r="K13" s="4">
        <f t="shared" si="2"/>
        <v>6.3711911357340736E-2</v>
      </c>
    </row>
    <row r="14" spans="3:11" x14ac:dyDescent="0.35">
      <c r="C14" s="3">
        <v>24847</v>
      </c>
      <c r="D14" s="2" t="s">
        <v>7</v>
      </c>
      <c r="E14" s="2">
        <v>4</v>
      </c>
      <c r="F14" s="2">
        <v>3.28</v>
      </c>
      <c r="G14" s="2">
        <v>4.2</v>
      </c>
      <c r="H14" s="2">
        <f t="shared" si="0"/>
        <v>17.32</v>
      </c>
      <c r="I14" s="2">
        <v>0.56000000000000005</v>
      </c>
      <c r="J14" s="2">
        <f t="shared" si="1"/>
        <v>-1.96</v>
      </c>
      <c r="K14" s="4">
        <f t="shared" si="2"/>
        <v>-0.11316397228637413</v>
      </c>
    </row>
    <row r="15" spans="3:11" x14ac:dyDescent="0.35">
      <c r="C15" s="3">
        <v>24848</v>
      </c>
      <c r="D15" s="2" t="s">
        <v>7</v>
      </c>
      <c r="E15" s="2">
        <v>4</v>
      </c>
      <c r="F15" s="2">
        <v>3.58</v>
      </c>
      <c r="G15" s="2">
        <v>1.63</v>
      </c>
      <c r="H15" s="2">
        <f t="shared" si="0"/>
        <v>15.95</v>
      </c>
      <c r="I15" s="2">
        <v>0.36</v>
      </c>
      <c r="J15" s="2">
        <f t="shared" si="1"/>
        <v>-0.18999999999999995</v>
      </c>
      <c r="K15" s="4">
        <f t="shared" si="2"/>
        <v>-1.1912225705329151E-2</v>
      </c>
    </row>
    <row r="16" spans="3:11" x14ac:dyDescent="0.35">
      <c r="C16" s="3">
        <v>18181</v>
      </c>
      <c r="D16" s="2" t="s">
        <v>6</v>
      </c>
      <c r="E16" s="2">
        <v>7</v>
      </c>
      <c r="F16" s="2">
        <v>4.42</v>
      </c>
      <c r="G16" s="2">
        <v>4.99</v>
      </c>
      <c r="H16" s="2">
        <f t="shared" si="0"/>
        <v>35.93</v>
      </c>
      <c r="I16" s="2">
        <v>0.38</v>
      </c>
      <c r="J16" s="2">
        <f t="shared" si="1"/>
        <v>-2.33</v>
      </c>
      <c r="K16" s="4">
        <f t="shared" si="2"/>
        <v>-6.4848316170331197E-2</v>
      </c>
    </row>
    <row r="17" spans="3:11" x14ac:dyDescent="0.35">
      <c r="C17" s="3">
        <v>20925</v>
      </c>
      <c r="D17" s="2" t="s">
        <v>7</v>
      </c>
      <c r="E17" s="2">
        <v>10</v>
      </c>
      <c r="F17" s="2">
        <v>35.94</v>
      </c>
      <c r="G17" s="2">
        <v>6.66</v>
      </c>
      <c r="H17" s="2">
        <f t="shared" si="0"/>
        <v>366.06</v>
      </c>
      <c r="I17" s="2">
        <v>0.4</v>
      </c>
      <c r="J17" s="2">
        <f t="shared" si="1"/>
        <v>-2.66</v>
      </c>
      <c r="K17" s="4">
        <f t="shared" si="2"/>
        <v>-7.2665683221329836E-3</v>
      </c>
    </row>
    <row r="18" spans="3:11" x14ac:dyDescent="0.35">
      <c r="C18" s="3">
        <v>26267</v>
      </c>
      <c r="D18" s="2" t="s">
        <v>4</v>
      </c>
      <c r="E18" s="2">
        <v>6</v>
      </c>
      <c r="F18" s="2">
        <v>2.98</v>
      </c>
      <c r="G18" s="2">
        <v>1.58</v>
      </c>
      <c r="H18" s="2">
        <f t="shared" si="0"/>
        <v>19.46</v>
      </c>
      <c r="I18" s="2">
        <v>0.39</v>
      </c>
      <c r="J18" s="2">
        <f t="shared" si="1"/>
        <v>0.75999999999999979</v>
      </c>
      <c r="K18" s="4">
        <f t="shared" si="2"/>
        <v>3.9054470709146957E-2</v>
      </c>
    </row>
    <row r="19" spans="3:11" x14ac:dyDescent="0.35">
      <c r="C19" s="3">
        <v>26268</v>
      </c>
      <c r="D19" s="2" t="s">
        <v>4</v>
      </c>
      <c r="E19" s="2">
        <v>10</v>
      </c>
      <c r="F19" s="2">
        <v>115.99</v>
      </c>
      <c r="G19" s="2">
        <v>2.5</v>
      </c>
      <c r="H19" s="2">
        <f t="shared" si="0"/>
        <v>1162.3999999999999</v>
      </c>
      <c r="I19" s="2">
        <v>0.55000000000000004</v>
      </c>
      <c r="J19" s="2">
        <f t="shared" si="1"/>
        <v>3</v>
      </c>
      <c r="K19" s="4">
        <f t="shared" si="2"/>
        <v>2.5808671713695806E-3</v>
      </c>
    </row>
    <row r="20" spans="3:11" x14ac:dyDescent="0.35">
      <c r="C20" s="3">
        <v>23890</v>
      </c>
      <c r="D20" s="2" t="s">
        <v>4</v>
      </c>
      <c r="E20" s="2">
        <v>17</v>
      </c>
      <c r="F20" s="2">
        <v>26.48</v>
      </c>
      <c r="G20" s="2">
        <v>6.93</v>
      </c>
      <c r="H20" s="2">
        <f t="shared" si="0"/>
        <v>457.09000000000003</v>
      </c>
      <c r="I20" s="2">
        <v>0.49</v>
      </c>
      <c r="J20" s="2">
        <f t="shared" si="1"/>
        <v>1.4000000000000004</v>
      </c>
      <c r="K20" s="4">
        <f t="shared" si="2"/>
        <v>3.0628541425102283E-3</v>
      </c>
    </row>
    <row r="21" spans="3:11" x14ac:dyDescent="0.35">
      <c r="C21" s="3">
        <v>24063</v>
      </c>
      <c r="D21" s="2" t="s">
        <v>5</v>
      </c>
      <c r="E21" s="2">
        <v>18</v>
      </c>
      <c r="F21" s="2">
        <v>12.99</v>
      </c>
      <c r="G21" s="2">
        <v>9.44</v>
      </c>
      <c r="H21" s="2">
        <f t="shared" si="0"/>
        <v>243.26</v>
      </c>
      <c r="I21" s="2">
        <v>0.39</v>
      </c>
      <c r="J21" s="2">
        <f t="shared" si="1"/>
        <v>-2.419999999999999</v>
      </c>
      <c r="K21" s="4">
        <f t="shared" si="2"/>
        <v>-9.9482035681986315E-3</v>
      </c>
    </row>
    <row r="22" spans="3:11" x14ac:dyDescent="0.35">
      <c r="C22" s="3">
        <v>5890</v>
      </c>
      <c r="D22" s="2" t="s">
        <v>4</v>
      </c>
      <c r="E22" s="2">
        <v>70</v>
      </c>
      <c r="F22" s="2">
        <v>26.48</v>
      </c>
      <c r="G22" s="2">
        <v>6.93</v>
      </c>
      <c r="H22" s="2">
        <f t="shared" si="0"/>
        <v>1860.5300000000002</v>
      </c>
      <c r="I22" s="2">
        <v>0.49</v>
      </c>
      <c r="J22" s="2">
        <f t="shared" si="1"/>
        <v>27.369999999999997</v>
      </c>
      <c r="K22" s="4">
        <f t="shared" si="2"/>
        <v>1.4710861958689187E-2</v>
      </c>
    </row>
    <row r="23" spans="3:11" x14ac:dyDescent="0.35">
      <c r="C23" s="3">
        <v>6062</v>
      </c>
      <c r="D23" s="2" t="s">
        <v>5</v>
      </c>
      <c r="E23" s="2">
        <v>58</v>
      </c>
      <c r="F23" s="2">
        <v>5</v>
      </c>
      <c r="G23" s="2">
        <v>3.39</v>
      </c>
      <c r="H23" s="2">
        <f t="shared" si="0"/>
        <v>293.39</v>
      </c>
      <c r="I23" s="2">
        <v>0.37</v>
      </c>
      <c r="J23" s="2">
        <f t="shared" si="1"/>
        <v>18.07</v>
      </c>
      <c r="K23" s="4">
        <f t="shared" si="2"/>
        <v>6.1590374586727566E-2</v>
      </c>
    </row>
    <row r="24" spans="3:11" x14ac:dyDescent="0.35">
      <c r="C24" s="3">
        <v>6063</v>
      </c>
      <c r="D24" s="2" t="s">
        <v>5</v>
      </c>
      <c r="E24" s="2">
        <v>71</v>
      </c>
      <c r="F24" s="2">
        <v>12.99</v>
      </c>
      <c r="G24" s="2">
        <v>9.44</v>
      </c>
      <c r="H24" s="2">
        <f t="shared" si="0"/>
        <v>931.73</v>
      </c>
      <c r="I24" s="2">
        <v>0.39</v>
      </c>
      <c r="J24" s="2">
        <f t="shared" si="1"/>
        <v>18.25</v>
      </c>
      <c r="K24" s="4">
        <f t="shared" si="2"/>
        <v>1.958721947345261E-2</v>
      </c>
    </row>
    <row r="25" spans="3:11" x14ac:dyDescent="0.35">
      <c r="C25" s="3">
        <v>20631</v>
      </c>
      <c r="D25" s="2" t="s">
        <v>4</v>
      </c>
      <c r="E25" s="2">
        <v>1</v>
      </c>
      <c r="F25" s="2">
        <v>55.48</v>
      </c>
      <c r="G25" s="2">
        <v>14.3</v>
      </c>
      <c r="H25" s="2">
        <f t="shared" si="0"/>
        <v>69.78</v>
      </c>
      <c r="I25" s="2">
        <v>0.37</v>
      </c>
      <c r="J25" s="2">
        <f t="shared" si="1"/>
        <v>-13.930000000000001</v>
      </c>
      <c r="K25" s="4">
        <f t="shared" si="2"/>
        <v>-0.19962740040126112</v>
      </c>
    </row>
    <row r="26" spans="3:11" x14ac:dyDescent="0.35">
      <c r="C26" s="3">
        <v>20632</v>
      </c>
      <c r="D26" s="2" t="s">
        <v>4</v>
      </c>
      <c r="E26" s="2">
        <v>1</v>
      </c>
      <c r="F26" s="2">
        <v>1.68</v>
      </c>
      <c r="G26" s="2">
        <v>1.57</v>
      </c>
      <c r="H26" s="2">
        <f t="shared" si="0"/>
        <v>3.25</v>
      </c>
      <c r="I26" s="2">
        <v>0.59</v>
      </c>
      <c r="J26" s="2">
        <f t="shared" si="1"/>
        <v>-0.98000000000000009</v>
      </c>
      <c r="K26" s="4">
        <f t="shared" si="2"/>
        <v>-0.30153846153846159</v>
      </c>
    </row>
    <row r="27" spans="3:11" x14ac:dyDescent="0.35">
      <c r="C27" s="3">
        <v>23967</v>
      </c>
      <c r="D27" s="2" t="s">
        <v>5</v>
      </c>
      <c r="E27" s="2">
        <v>12</v>
      </c>
      <c r="F27" s="2">
        <v>4.1399999999999997</v>
      </c>
      <c r="G27" s="2">
        <v>6.6</v>
      </c>
      <c r="H27" s="2">
        <f t="shared" si="0"/>
        <v>56.279999999999994</v>
      </c>
      <c r="I27" s="2">
        <v>0.49</v>
      </c>
      <c r="J27" s="2">
        <f t="shared" si="1"/>
        <v>-0.71999999999999975</v>
      </c>
      <c r="K27" s="4">
        <f t="shared" si="2"/>
        <v>-1.2793176972281446E-2</v>
      </c>
    </row>
    <row r="28" spans="3:11" x14ac:dyDescent="0.35">
      <c r="C28" s="3">
        <v>23509</v>
      </c>
      <c r="D28" s="2" t="s">
        <v>4</v>
      </c>
      <c r="E28" s="2">
        <v>13</v>
      </c>
      <c r="F28" s="2">
        <v>34.99</v>
      </c>
      <c r="G28" s="2">
        <v>7.73</v>
      </c>
      <c r="H28" s="2">
        <f t="shared" si="0"/>
        <v>462.6</v>
      </c>
      <c r="I28" s="2">
        <v>0.59</v>
      </c>
      <c r="J28" s="2">
        <f t="shared" si="1"/>
        <v>-6.0000000000000497E-2</v>
      </c>
      <c r="K28" s="4">
        <f t="shared" si="2"/>
        <v>-1.2970168612192064E-4</v>
      </c>
    </row>
    <row r="29" spans="3:11" x14ac:dyDescent="0.35">
      <c r="C29" s="3">
        <v>23612</v>
      </c>
      <c r="D29" s="2" t="s">
        <v>4</v>
      </c>
      <c r="E29" s="2">
        <v>2</v>
      </c>
      <c r="F29" s="2">
        <v>17.98</v>
      </c>
      <c r="G29" s="2">
        <v>8.51</v>
      </c>
      <c r="H29" s="2">
        <f t="shared" si="0"/>
        <v>44.47</v>
      </c>
      <c r="I29" s="2">
        <v>0.4</v>
      </c>
      <c r="J29" s="2">
        <f t="shared" si="1"/>
        <v>-7.71</v>
      </c>
      <c r="K29" s="4">
        <f t="shared" si="2"/>
        <v>-0.17337530919721161</v>
      </c>
    </row>
    <row r="30" spans="3:11" x14ac:dyDescent="0.35">
      <c r="C30" s="3">
        <v>23278</v>
      </c>
      <c r="D30" s="2" t="s">
        <v>7</v>
      </c>
      <c r="E30" s="2">
        <v>8</v>
      </c>
      <c r="F30" s="2">
        <v>125.99</v>
      </c>
      <c r="G30" s="2">
        <v>7.69</v>
      </c>
      <c r="H30" s="2">
        <f t="shared" si="0"/>
        <v>1015.61</v>
      </c>
      <c r="I30" s="2">
        <v>0.59</v>
      </c>
      <c r="J30" s="2">
        <f t="shared" si="1"/>
        <v>-2.9700000000000006</v>
      </c>
      <c r="K30" s="4">
        <f t="shared" si="2"/>
        <v>-2.9243508827207299E-3</v>
      </c>
    </row>
    <row r="31" spans="3:11" x14ac:dyDescent="0.35">
      <c r="C31" s="3">
        <v>19355</v>
      </c>
      <c r="D31" s="2" t="s">
        <v>8</v>
      </c>
      <c r="E31" s="2">
        <v>22</v>
      </c>
      <c r="F31" s="2">
        <v>205.99</v>
      </c>
      <c r="G31" s="2">
        <v>8.99</v>
      </c>
      <c r="H31" s="2">
        <f t="shared" si="0"/>
        <v>4540.7700000000004</v>
      </c>
      <c r="I31" s="2">
        <v>0.56000000000000005</v>
      </c>
      <c r="J31" s="2">
        <f t="shared" si="1"/>
        <v>3.33</v>
      </c>
      <c r="K31" s="4">
        <f t="shared" si="2"/>
        <v>7.3335579648385618E-4</v>
      </c>
    </row>
    <row r="32" spans="3:11" x14ac:dyDescent="0.35">
      <c r="C32" s="3">
        <v>23654</v>
      </c>
      <c r="D32" s="2" t="s">
        <v>5</v>
      </c>
      <c r="E32" s="2">
        <v>13</v>
      </c>
      <c r="F32" s="2">
        <v>4.24</v>
      </c>
      <c r="G32" s="2">
        <v>5.41</v>
      </c>
      <c r="H32" s="2">
        <f t="shared" si="0"/>
        <v>60.53</v>
      </c>
      <c r="I32" s="2">
        <v>0.35</v>
      </c>
      <c r="J32" s="2">
        <f t="shared" si="1"/>
        <v>-0.86000000000000032</v>
      </c>
      <c r="K32" s="4">
        <f t="shared" si="2"/>
        <v>-1.4207830827688754E-2</v>
      </c>
    </row>
    <row r="33" spans="3:11" x14ac:dyDescent="0.35">
      <c r="C33" s="3">
        <v>23655</v>
      </c>
      <c r="D33" s="2" t="s">
        <v>5</v>
      </c>
      <c r="E33" s="2">
        <v>18</v>
      </c>
      <c r="F33" s="2">
        <v>2.94</v>
      </c>
      <c r="G33" s="2">
        <v>0.7</v>
      </c>
      <c r="H33" s="2">
        <f t="shared" si="0"/>
        <v>53.620000000000005</v>
      </c>
      <c r="I33" s="2">
        <v>0.57999999999999996</v>
      </c>
      <c r="J33" s="2">
        <f t="shared" si="1"/>
        <v>9.74</v>
      </c>
      <c r="K33" s="4">
        <f t="shared" si="2"/>
        <v>0.18164863856769861</v>
      </c>
    </row>
    <row r="34" spans="3:11" x14ac:dyDescent="0.35">
      <c r="C34" s="3">
        <v>25933</v>
      </c>
      <c r="D34" s="2" t="s">
        <v>4</v>
      </c>
      <c r="E34" s="2">
        <v>6</v>
      </c>
      <c r="F34" s="2">
        <v>99.99</v>
      </c>
      <c r="G34" s="2">
        <v>19.989999999999998</v>
      </c>
      <c r="H34" s="2">
        <f t="shared" si="0"/>
        <v>619.92999999999995</v>
      </c>
      <c r="I34" s="2">
        <v>0.52</v>
      </c>
      <c r="J34" s="2">
        <f t="shared" si="1"/>
        <v>-16.869999999999997</v>
      </c>
      <c r="K34" s="4">
        <f t="shared" si="2"/>
        <v>-2.7212749826593323E-2</v>
      </c>
    </row>
    <row r="35" spans="3:11" x14ac:dyDescent="0.35">
      <c r="C35" s="3">
        <v>20697</v>
      </c>
      <c r="D35" s="2" t="s">
        <v>7</v>
      </c>
      <c r="E35" s="2">
        <v>6</v>
      </c>
      <c r="F35" s="2">
        <v>115.99</v>
      </c>
      <c r="G35" s="2">
        <v>2.5</v>
      </c>
      <c r="H35" s="2">
        <f t="shared" si="0"/>
        <v>698.43999999999994</v>
      </c>
      <c r="I35" s="2">
        <v>0.56999999999999995</v>
      </c>
      <c r="J35" s="2">
        <f t="shared" si="1"/>
        <v>0.91999999999999993</v>
      </c>
      <c r="K35" s="4">
        <f t="shared" si="2"/>
        <v>1.3172212358971422E-3</v>
      </c>
    </row>
    <row r="36" spans="3:11" x14ac:dyDescent="0.35">
      <c r="C36" s="3">
        <v>20698</v>
      </c>
      <c r="D36" s="2" t="s">
        <v>7</v>
      </c>
      <c r="E36" s="2">
        <v>1</v>
      </c>
      <c r="F36" s="2">
        <v>3502.14</v>
      </c>
      <c r="G36" s="2">
        <v>8.73</v>
      </c>
      <c r="H36" s="2">
        <f t="shared" si="0"/>
        <v>3510.87</v>
      </c>
      <c r="I36" s="2">
        <v>0.56999999999999995</v>
      </c>
      <c r="J36" s="2">
        <f t="shared" si="1"/>
        <v>-8.16</v>
      </c>
      <c r="K36" s="4">
        <f t="shared" si="2"/>
        <v>-2.3242102384878963E-3</v>
      </c>
    </row>
    <row r="37" spans="3:11" x14ac:dyDescent="0.35">
      <c r="C37" s="3">
        <v>22890</v>
      </c>
      <c r="D37" s="2" t="s">
        <v>4</v>
      </c>
      <c r="E37" s="2">
        <v>17</v>
      </c>
      <c r="F37" s="2">
        <v>175.99</v>
      </c>
      <c r="G37" s="2">
        <v>5.79</v>
      </c>
      <c r="H37" s="2">
        <f t="shared" si="0"/>
        <v>2997.62</v>
      </c>
      <c r="I37" s="2">
        <v>0.36</v>
      </c>
      <c r="J37" s="2">
        <f t="shared" si="1"/>
        <v>0.33000000000000007</v>
      </c>
      <c r="K37" s="4">
        <f t="shared" si="2"/>
        <v>1.1008733595318956E-4</v>
      </c>
    </row>
    <row r="38" spans="3:11" x14ac:dyDescent="0.35">
      <c r="C38" s="3">
        <v>25354</v>
      </c>
      <c r="D38" s="2" t="s">
        <v>4</v>
      </c>
      <c r="E38" s="2">
        <v>20</v>
      </c>
      <c r="F38" s="2">
        <v>155.06</v>
      </c>
      <c r="G38" s="2">
        <v>1.49</v>
      </c>
      <c r="H38" s="2">
        <f t="shared" si="0"/>
        <v>3102.6899999999996</v>
      </c>
      <c r="I38" s="2">
        <v>0.38</v>
      </c>
      <c r="J38" s="2">
        <f t="shared" si="1"/>
        <v>6.1099999999999994</v>
      </c>
      <c r="K38" s="4">
        <f t="shared" si="2"/>
        <v>1.9692589333771661E-3</v>
      </c>
    </row>
    <row r="39" spans="3:11" x14ac:dyDescent="0.35">
      <c r="C39" s="3">
        <v>21017</v>
      </c>
      <c r="D39" s="2" t="s">
        <v>5</v>
      </c>
      <c r="E39" s="2">
        <v>17</v>
      </c>
      <c r="F39" s="2">
        <v>5.98</v>
      </c>
      <c r="G39" s="2">
        <v>0.7</v>
      </c>
      <c r="H39" s="2">
        <f t="shared" si="0"/>
        <v>102.36000000000001</v>
      </c>
      <c r="I39" s="2">
        <v>0.56000000000000005</v>
      </c>
      <c r="J39" s="2">
        <f t="shared" si="1"/>
        <v>8.8200000000000021</v>
      </c>
      <c r="K39" s="4">
        <f t="shared" si="2"/>
        <v>8.616647127784291E-2</v>
      </c>
    </row>
    <row r="40" spans="3:11" x14ac:dyDescent="0.35">
      <c r="C40" s="3">
        <v>21019</v>
      </c>
      <c r="D40" s="2" t="s">
        <v>5</v>
      </c>
      <c r="E40" s="2">
        <v>3</v>
      </c>
      <c r="F40" s="2">
        <v>29.14</v>
      </c>
      <c r="G40" s="2">
        <v>5.15</v>
      </c>
      <c r="H40" s="2">
        <f t="shared" si="0"/>
        <v>92.570000000000007</v>
      </c>
      <c r="I40" s="2">
        <v>0.36</v>
      </c>
      <c r="J40" s="2">
        <f t="shared" si="1"/>
        <v>-4.07</v>
      </c>
      <c r="K40" s="4">
        <f t="shared" si="2"/>
        <v>-4.3966727881603114E-2</v>
      </c>
    </row>
    <row r="41" spans="3:11" x14ac:dyDescent="0.35">
      <c r="C41" s="8">
        <v>23274</v>
      </c>
      <c r="D41" s="9" t="s">
        <v>8</v>
      </c>
      <c r="E41" s="9">
        <v>17</v>
      </c>
      <c r="F41" s="9">
        <v>3.69</v>
      </c>
      <c r="G41" s="9">
        <v>4.8600000000000003</v>
      </c>
      <c r="H41" s="9">
        <f t="shared" si="0"/>
        <v>67.59</v>
      </c>
      <c r="I41" s="9">
        <v>0.38</v>
      </c>
      <c r="J41" s="9">
        <f t="shared" si="1"/>
        <v>1.5999999999999996</v>
      </c>
      <c r="K41" s="10">
        <f t="shared" si="2"/>
        <v>2.3672140849238046E-2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 5420</cp:lastModifiedBy>
  <dcterms:created xsi:type="dcterms:W3CDTF">2015-06-05T18:17:20Z</dcterms:created>
  <dcterms:modified xsi:type="dcterms:W3CDTF">2026-01-26T11:29:32Z</dcterms:modified>
</cp:coreProperties>
</file>