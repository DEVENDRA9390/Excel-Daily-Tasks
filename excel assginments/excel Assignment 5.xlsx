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9200" windowHeight="6930"/>
  </bookViews>
  <sheets>
    <sheet name="Charts" sheetId="1" r:id="rId1"/>
    <sheet name="Charts2" sheetId="3" r:id="rId2"/>
    <sheet name="Scatter" sheetId="5" r:id="rId3"/>
    <sheet name="Waterfall" sheetId="8" r:id="rId4"/>
    <sheet name="Gantt chart" sheetId="9" r:id="rId5"/>
  </sheets>
  <definedNames>
    <definedName name="_xlchart.0" hidden="1">Waterfall!$C$6:$C$17</definedName>
    <definedName name="_xlchart.1" hidden="1">Waterfall!$D$5</definedName>
    <definedName name="_xlchart.10" hidden="1">'Gantt chart'!$E$7:$E$17</definedName>
    <definedName name="_xlchart.11" hidden="1">'Gantt chart'!$F$6</definedName>
    <definedName name="_xlchart.12" hidden="1">'Gantt chart'!$F$7:$F$17</definedName>
    <definedName name="_xlchart.2" hidden="1">Waterfall!$D$6:$D$17</definedName>
    <definedName name="_xlchart.3" hidden="1">Waterfall!$C$6:$C$17</definedName>
    <definedName name="_xlchart.4" hidden="1">Waterfall!$D$5</definedName>
    <definedName name="_xlchart.5" hidden="1">Waterfall!$D$6:$D$17</definedName>
    <definedName name="_xlchart.6" hidden="1">'Gantt chart'!$C$7:$C$17</definedName>
    <definedName name="_xlchart.7" hidden="1">'Gantt chart'!$D$6</definedName>
    <definedName name="_xlchart.8" hidden="1">'Gantt chart'!$D$7:$D$17</definedName>
    <definedName name="_xlchart.9" hidden="1">'Gantt chart'!$E$6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3" l="1"/>
  <c r="F7" i="9"/>
  <c r="F8" i="9"/>
  <c r="D25" i="3" l="1"/>
  <c r="F9" i="9" l="1"/>
  <c r="F10" i="9"/>
  <c r="F11" i="9"/>
  <c r="F12" i="9"/>
  <c r="F13" i="9"/>
  <c r="F14" i="9"/>
  <c r="F15" i="9"/>
  <c r="F16" i="9"/>
  <c r="F17" i="9"/>
  <c r="D17" i="8"/>
  <c r="F9" i="3" l="1"/>
  <c r="F17" i="3"/>
  <c r="E8" i="3"/>
  <c r="F8" i="3" s="1"/>
  <c r="E9" i="3"/>
  <c r="E10" i="3"/>
  <c r="F10" i="3" s="1"/>
  <c r="E11" i="3"/>
  <c r="F11" i="3" s="1"/>
  <c r="E12" i="3"/>
  <c r="F12" i="3" s="1"/>
  <c r="E13" i="3"/>
  <c r="E14" i="3"/>
  <c r="F14" i="3" s="1"/>
  <c r="E15" i="3"/>
  <c r="F15" i="3" s="1"/>
  <c r="E16" i="3"/>
  <c r="F16" i="3" s="1"/>
  <c r="E17" i="3"/>
  <c r="E18" i="3"/>
  <c r="F18" i="3" s="1"/>
  <c r="E19" i="3"/>
  <c r="F19" i="3" s="1"/>
  <c r="E20" i="3"/>
  <c r="F20" i="3" s="1"/>
  <c r="E21" i="3"/>
  <c r="E22" i="3"/>
  <c r="F22" i="3" s="1"/>
  <c r="E23" i="3"/>
  <c r="F13" i="3" s="1"/>
  <c r="E7" i="3"/>
  <c r="F23" i="3" l="1"/>
  <c r="F21" i="3"/>
</calcChain>
</file>

<file path=xl/connections.xml><?xml version="1.0" encoding="utf-8"?>
<connections xmlns="http://schemas.openxmlformats.org/spreadsheetml/2006/main">
  <connection id="1" keepAlive="1" name="Query - auto-mpg" description="Connection to the 'auto-mpg' query in the workbook." type="5" refreshedVersion="0" background="1" saveData="1">
    <dbPr connection="Provider=Microsoft.Mashup.OleDb.1;Data Source=$Workbook$;Location=auto-mpg;Extended Properties=&quot;&quot;" command="SELECT * FROM [auto-mpg]"/>
  </connection>
</connections>
</file>

<file path=xl/sharedStrings.xml><?xml version="1.0" encoding="utf-8"?>
<sst xmlns="http://schemas.openxmlformats.org/spreadsheetml/2006/main" count="45" uniqueCount="37">
  <si>
    <t>Date</t>
  </si>
  <si>
    <t>Revenue'000</t>
  </si>
  <si>
    <t>Create Line Chart with Proper formatting</t>
  </si>
  <si>
    <t>Should be formatted as shown in picture</t>
  </si>
  <si>
    <t>Total</t>
  </si>
  <si>
    <t>%</t>
  </si>
  <si>
    <t>Running Total</t>
  </si>
  <si>
    <t>Create Combo Chart with Proper formatting</t>
  </si>
  <si>
    <t>horsepower</t>
  </si>
  <si>
    <t>weight</t>
  </si>
  <si>
    <t>Create Scatter Chart with Proper formatting</t>
  </si>
  <si>
    <t>Period</t>
  </si>
  <si>
    <t>Net Cash Flow</t>
  </si>
  <si>
    <t>Current Balance</t>
  </si>
  <si>
    <t>JAN FY2022</t>
  </si>
  <si>
    <t>FEB FY2022</t>
  </si>
  <si>
    <t>MAR FY2022</t>
  </si>
  <si>
    <t>APR FY2022</t>
  </si>
  <si>
    <t>MAY FY2022</t>
  </si>
  <si>
    <t>JUN FY2022</t>
  </si>
  <si>
    <t>JUL FY2022</t>
  </si>
  <si>
    <t>AUG FY2022</t>
  </si>
  <si>
    <t>SEP FY2022</t>
  </si>
  <si>
    <t>OCT FY2022</t>
  </si>
  <si>
    <t>Start Balance</t>
  </si>
  <si>
    <t>Create Waterfall Chart with Proper formatting</t>
  </si>
  <si>
    <t>Task Description</t>
  </si>
  <si>
    <t>Planned 
End Date</t>
  </si>
  <si>
    <t>Work Days Planned</t>
  </si>
  <si>
    <t>Sub-task 1</t>
  </si>
  <si>
    <t>Sub-task 2</t>
  </si>
  <si>
    <t>Sub-task 3</t>
  </si>
  <si>
    <t>Sub-task 4</t>
  </si>
  <si>
    <t>Sub-task 5</t>
  </si>
  <si>
    <t>Sub-task 6</t>
  </si>
  <si>
    <t>Main task 2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</si>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</sst>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₹&quot;\ #,##0;[Red]&quot;₹&quot;\ \-#,##0"/>
    <numFmt numFmtId="8" formatCode="&quot;₹&quot;\ #,##0.00;[Red]&quot;₹&quot;\ \-#,##0.00"/>
    <numFmt numFmtId="164" formatCode="&quot;$&quot;#,##0_);[Red]\(&quot;$&quot;#,##0\)"/>
    <numFmt numFmtId="165" formatCode="dd\-mmm\-yy;;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0" fillId="0" borderId="2" xfId="0" applyNumberFormat="1" applyBorder="1"/>
    <xf numFmtId="0" fontId="0" fillId="0" borderId="1" xfId="0" applyBorder="1"/>
    <xf numFmtId="0" fontId="0" fillId="0" borderId="4" xfId="0" applyBorder="1"/>
    <xf numFmtId="164" fontId="0" fillId="0" borderId="3" xfId="0" applyNumberForma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8" fontId="0" fillId="0" borderId="3" xfId="0" applyNumberFormat="1" applyBorder="1"/>
    <xf numFmtId="6" fontId="0" fillId="0" borderId="2" xfId="0" applyNumberFormat="1" applyBorder="1"/>
    <xf numFmtId="6" fontId="0" fillId="0" borderId="3" xfId="0" applyNumberFormat="1" applyBorder="1"/>
    <xf numFmtId="164" fontId="0" fillId="0" borderId="0" xfId="0" applyNumberFormat="1"/>
    <xf numFmtId="0" fontId="0" fillId="0" borderId="3" xfId="0" applyBorder="1"/>
    <xf numFmtId="9" fontId="0" fillId="0" borderId="3" xfId="0" applyNumberFormat="1" applyBorder="1"/>
    <xf numFmtId="4" fontId="0" fillId="0" borderId="3" xfId="0" applyNumberFormat="1" applyBorder="1"/>
    <xf numFmtId="0" fontId="1" fillId="2" borderId="3" xfId="0" applyFont="1" applyFill="1" applyBorder="1"/>
    <xf numFmtId="0" fontId="1" fillId="3" borderId="5" xfId="0" applyFont="1" applyFill="1" applyBorder="1"/>
    <xf numFmtId="0" fontId="0" fillId="4" borderId="5" xfId="0" applyFill="1" applyBorder="1"/>
    <xf numFmtId="0" fontId="0" fillId="0" borderId="5" xfId="0" applyBorder="1"/>
    <xf numFmtId="15" fontId="6" fillId="0" borderId="0" xfId="0" applyNumberFormat="1" applyFont="1" applyAlignment="1" applyProtection="1">
      <alignment horizontal="right"/>
      <protection locked="0"/>
    </xf>
    <xf numFmtId="0" fontId="6" fillId="0" borderId="7" xfId="0" applyFont="1" applyBorder="1" applyProtection="1">
      <protection locked="0"/>
    </xf>
    <xf numFmtId="165" fontId="6" fillId="0" borderId="7" xfId="0" applyNumberFormat="1" applyFont="1" applyBorder="1" applyAlignment="1" applyProtection="1">
      <alignment horizontal="right"/>
      <protection locked="0"/>
    </xf>
    <xf numFmtId="0" fontId="7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Protection="1">
      <protection locked="0"/>
    </xf>
    <xf numFmtId="1" fontId="6" fillId="0" borderId="0" xfId="0" applyNumberFormat="1" applyFont="1" applyAlignment="1">
      <alignment horizontal="center"/>
    </xf>
    <xf numFmtId="15" fontId="6" fillId="0" borderId="7" xfId="0" applyNumberFormat="1" applyFont="1" applyBorder="1" applyAlignment="1" applyProtection="1">
      <alignment horizontal="right"/>
      <protection locked="0"/>
    </xf>
    <xf numFmtId="4" fontId="0" fillId="0" borderId="0" xfId="0" applyNumberFormat="1" applyFill="1" applyBorder="1"/>
    <xf numFmtId="9" fontId="0" fillId="0" borderId="0" xfId="0" applyNumberForma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Charts!$D$5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0" cap="sq" cmpd="sng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7-4549-8BFC-353AACD70E7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0" cap="sq" cmpd="sng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4F7-4549-8BFC-353AACD70E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A-4398-9258-DA60BE2B20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97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222481151"/>
        <c:axId val="222476159"/>
      </c:lineChart>
      <c:catAx>
        <c:axId val="222481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2476159"/>
        <c:crosses val="autoZero"/>
        <c:auto val="1"/>
        <c:lblAlgn val="ctr"/>
        <c:lblOffset val="100"/>
        <c:noMultiLvlLbl val="0"/>
      </c:catAx>
      <c:valAx>
        <c:axId val="222476159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22248115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zero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revenue`000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6464305710518"/>
          <c:y val="0.15665993590780172"/>
          <c:w val="0.82161208290610555"/>
          <c:h val="0.62871556872334466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C-4FBB-BE07-32522FBB10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4"/>
        <c:overlap val="7"/>
        <c:axId val="1062167312"/>
        <c:axId val="10621544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4C-4FBB-BE07-32522FBB103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31750" cap="rnd">
              <a:solidFill>
                <a:schemeClr val="accent6">
                  <a:lumMod val="75000"/>
                  <a:alpha val="86000"/>
                </a:schemeClr>
              </a:solidFill>
              <a:prstDash val="solid"/>
              <a:round/>
              <a:headEnd type="none"/>
              <a:tailEnd type="none" w="lg" len="med"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0B-4E17-858F-A6BB2C4D322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CF0B-4E17-858F-A6BB2C4D322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0B-4E17-858F-A6BB2C4D322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0B-4E17-858F-A6BB2C4D322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0B-4E17-858F-A6BB2C4D322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0B-4E17-858F-A6BB2C4D322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0B-4E17-858F-A6BB2C4D322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0B-4E17-858F-A6BB2C4D322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0B-4E17-858F-A6BB2C4D322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CF0B-4E17-858F-A6BB2C4D322E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0B-4E17-858F-A6BB2C4D322E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0B-4E17-858F-A6BB2C4D322E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0B-4E17-858F-A6BB2C4D322E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0B-4E17-858F-A6BB2C4D322E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none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0B-4E17-858F-A6BB2C4D322E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50000"/>
                    <a:alpha val="86000"/>
                  </a:schemeClr>
                </a:solidFill>
                <a:prstDash val="solid"/>
                <a:round/>
                <a:headEnd type="none"/>
                <a:tailEnd type="diamond" w="lg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0B-4E17-858F-A6BB2C4D3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Charts2!$F$6:$F$22</c:f>
              <c:numCache>
                <c:formatCode>0%</c:formatCode>
                <c:ptCount val="17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</c:numCache>
            </c:numRef>
          </c:cat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C-4FBB-BE07-32522FBB10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43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407420383"/>
        <c:axId val="1407433695"/>
      </c:lineChart>
      <c:catAx>
        <c:axId val="10621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54416"/>
        <c:crosses val="autoZero"/>
        <c:auto val="1"/>
        <c:lblAlgn val="ctr"/>
        <c:lblOffset val="100"/>
        <c:noMultiLvlLbl val="0"/>
      </c:catAx>
      <c:valAx>
        <c:axId val="10621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  <a:headEnd type="none" w="lg" len="lg"/>
              <a:tailEnd type="none"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67312"/>
        <c:crossesAt val="1"/>
        <c:crossBetween val="between"/>
      </c:valAx>
      <c:valAx>
        <c:axId val="14074336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20383"/>
        <c:crosses val="max"/>
        <c:crossBetween val="between"/>
      </c:valAx>
      <c:catAx>
        <c:axId val="1407420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74336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9040434658919174"/>
          <c:y val="0.97823494754367124"/>
          <c:w val="9.5956534108082702E-3"/>
          <c:h val="2.1765052456328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vs horsepower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7.4490740740740746E-2"/>
          <c:w val="0.87241907261592289"/>
          <c:h val="0.841258019830854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Scatter!$D$5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name/>
            <c:spPr>
              <a:ln w="19050" cap="rnd">
                <a:solidFill>
                  <a:schemeClr val="accent4"/>
                </a:solidFill>
                <a:prstDash val="dash"/>
                <a:headEnd w="lg" len="lg"/>
                <a:tailEnd type="stealth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Scatter!$C$6:$C$37</c:f>
              <c:numCache>
                <c:formatCode>General</c:formatCode>
                <c:ptCount val="32"/>
                <c:pt idx="0">
                  <c:v>130</c:v>
                </c:pt>
                <c:pt idx="1">
                  <c:v>165</c:v>
                </c:pt>
                <c:pt idx="2">
                  <c:v>150</c:v>
                </c:pt>
                <c:pt idx="3">
                  <c:v>150</c:v>
                </c:pt>
                <c:pt idx="4">
                  <c:v>140</c:v>
                </c:pt>
                <c:pt idx="5">
                  <c:v>198</c:v>
                </c:pt>
                <c:pt idx="6">
                  <c:v>220</c:v>
                </c:pt>
                <c:pt idx="7">
                  <c:v>215</c:v>
                </c:pt>
                <c:pt idx="8">
                  <c:v>225</c:v>
                </c:pt>
                <c:pt idx="9">
                  <c:v>190</c:v>
                </c:pt>
                <c:pt idx="10">
                  <c:v>170</c:v>
                </c:pt>
                <c:pt idx="11">
                  <c:v>160</c:v>
                </c:pt>
                <c:pt idx="12">
                  <c:v>150</c:v>
                </c:pt>
                <c:pt idx="13">
                  <c:v>225</c:v>
                </c:pt>
                <c:pt idx="14">
                  <c:v>95</c:v>
                </c:pt>
                <c:pt idx="15">
                  <c:v>95</c:v>
                </c:pt>
                <c:pt idx="16">
                  <c:v>97</c:v>
                </c:pt>
                <c:pt idx="17">
                  <c:v>85</c:v>
                </c:pt>
                <c:pt idx="18">
                  <c:v>88</c:v>
                </c:pt>
                <c:pt idx="19">
                  <c:v>46</c:v>
                </c:pt>
                <c:pt idx="20">
                  <c:v>87</c:v>
                </c:pt>
                <c:pt idx="21">
                  <c:v>90</c:v>
                </c:pt>
                <c:pt idx="22">
                  <c:v>95</c:v>
                </c:pt>
                <c:pt idx="23">
                  <c:v>113</c:v>
                </c:pt>
                <c:pt idx="24">
                  <c:v>90</c:v>
                </c:pt>
                <c:pt idx="25">
                  <c:v>215</c:v>
                </c:pt>
                <c:pt idx="26">
                  <c:v>200</c:v>
                </c:pt>
                <c:pt idx="27">
                  <c:v>210</c:v>
                </c:pt>
                <c:pt idx="28">
                  <c:v>193</c:v>
                </c:pt>
                <c:pt idx="29">
                  <c:v>88</c:v>
                </c:pt>
                <c:pt idx="30">
                  <c:v>90</c:v>
                </c:pt>
                <c:pt idx="31">
                  <c:v>95</c:v>
                </c:pt>
              </c:numCache>
            </c:numRef>
          </c:xVal>
          <c:yVal>
            <c:numRef>
              <c:f>Scatter!$D$6:$D$37</c:f>
              <c:numCache>
                <c:formatCode>General</c:formatCode>
                <c:ptCount val="32"/>
                <c:pt idx="0">
                  <c:v>3504</c:v>
                </c:pt>
                <c:pt idx="1">
                  <c:v>3693</c:v>
                </c:pt>
                <c:pt idx="2">
                  <c:v>3436</c:v>
                </c:pt>
                <c:pt idx="3">
                  <c:v>3433</c:v>
                </c:pt>
                <c:pt idx="4">
                  <c:v>3449</c:v>
                </c:pt>
                <c:pt idx="5">
                  <c:v>4341</c:v>
                </c:pt>
                <c:pt idx="6">
                  <c:v>4354</c:v>
                </c:pt>
                <c:pt idx="7">
                  <c:v>4312</c:v>
                </c:pt>
                <c:pt idx="8">
                  <c:v>4425</c:v>
                </c:pt>
                <c:pt idx="9">
                  <c:v>3850</c:v>
                </c:pt>
                <c:pt idx="10">
                  <c:v>3563</c:v>
                </c:pt>
                <c:pt idx="11">
                  <c:v>3609</c:v>
                </c:pt>
                <c:pt idx="12">
                  <c:v>3761</c:v>
                </c:pt>
                <c:pt idx="13">
                  <c:v>3086</c:v>
                </c:pt>
                <c:pt idx="14">
                  <c:v>2372</c:v>
                </c:pt>
                <c:pt idx="15">
                  <c:v>2833</c:v>
                </c:pt>
                <c:pt idx="16">
                  <c:v>2774</c:v>
                </c:pt>
                <c:pt idx="17">
                  <c:v>2587</c:v>
                </c:pt>
                <c:pt idx="18">
                  <c:v>2130</c:v>
                </c:pt>
                <c:pt idx="19">
                  <c:v>1835</c:v>
                </c:pt>
                <c:pt idx="20">
                  <c:v>2672</c:v>
                </c:pt>
                <c:pt idx="21">
                  <c:v>2430</c:v>
                </c:pt>
                <c:pt idx="22">
                  <c:v>2375</c:v>
                </c:pt>
                <c:pt idx="23">
                  <c:v>2234</c:v>
                </c:pt>
                <c:pt idx="24">
                  <c:v>2648</c:v>
                </c:pt>
                <c:pt idx="25">
                  <c:v>4615</c:v>
                </c:pt>
                <c:pt idx="26">
                  <c:v>4376</c:v>
                </c:pt>
                <c:pt idx="27">
                  <c:v>4382</c:v>
                </c:pt>
                <c:pt idx="28">
                  <c:v>4732</c:v>
                </c:pt>
                <c:pt idx="29">
                  <c:v>2130</c:v>
                </c:pt>
                <c:pt idx="30">
                  <c:v>2264</c:v>
                </c:pt>
                <c:pt idx="31">
                  <c:v>2228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83A-B33C-AE6BC030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488"/>
        <c:axId val="54044480"/>
      </c:scatterChart>
      <c:valAx>
        <c:axId val="540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4480"/>
        <c:crosses val="autoZero"/>
        <c:crossBetween val="midCat"/>
      </c:valAx>
      <c:valAx>
        <c:axId val="540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plotArea>
      <cx:plotAreaRegion>
        <cx:series layoutId="waterfall" uniqueId="{D84C486D-97DC-44F6-BF85-1B3D3B0AD12B}">
          <cx:tx>
            <cx:txData>
              <cx:f>_xlchart.4</cx:f>
              <cx:v>Net Cash Flow</cx:v>
            </cx:txData>
          </cx:tx>
          <cx:dataPt idx="0">
            <cx:spPr>
              <a:solidFill>
                <a:schemeClr val="bg1">
                  <a:lumMod val="75000"/>
                </a:schemeClr>
              </a:solidFill>
            </cx:spPr>
          </cx:dataPt>
          <cx:dataLabels>
            <cx:visibility seriesName="0" categoryName="0" value="1"/>
          </cx:dataLabels>
          <cx:dataId val="0"/>
          <cx:layoutPr>
            <cx:visibility connectorLines="1"/>
            <cx:subtotals>
              <cx:idx val="11"/>
            </cx:subtotals>
          </cx:layoutPr>
        </cx:series>
      </cx:plotAreaRegion>
      <cx:axis id="0">
        <cx:catScaling gapWidth="0.699999988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chart'!$D$6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chart'!$C$7:$C$17</c:f>
              <c:strCache>
                <c:ptCount val="11"/>
                <c:pt idx="0">
                  <c:v>Main task 2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'Gantt chart'!$D$7:$D$17</c:f>
              <c:numCache>
                <c:formatCode>dd\-mmm\-yy;;</c:formatCode>
                <c:ptCount val="11"/>
                <c:pt idx="0" formatCode="d\-mmm\-yy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6-4C5C-A192-E8ADED828221}"/>
            </c:ext>
          </c:extLst>
        </c:ser>
        <c:ser>
          <c:idx val="2"/>
          <c:order val="1"/>
          <c:tx>
            <c:strRef>
              <c:f>'Gantt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'Gantt chart'!$F$7:$F$17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6-4C5C-A192-E8ADED82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1614711327"/>
        <c:axId val="1614728799"/>
      </c:barChart>
      <c:catAx>
        <c:axId val="16147113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28799"/>
        <c:crosses val="autoZero"/>
        <c:auto val="1"/>
        <c:lblAlgn val="ctr"/>
        <c:lblOffset val="100"/>
        <c:noMultiLvlLbl val="0"/>
      </c:catAx>
      <c:valAx>
        <c:axId val="1614728799"/>
        <c:scaling>
          <c:orientation val="minMax"/>
          <c:max val="40240"/>
          <c:min val="400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_xlchart.6</cx:f>
      </cx:strDim>
      <cx:numDim type="val">
        <cx:f>_xlchart.8</cx:f>
      </cx:numDim>
    </cx:data>
    <cx:data id="1">
      <cx:strDim type="cat">
        <cx:f>_xlchart.6</cx:f>
      </cx:strDim>
      <cx:numDim type="val">
        <cx:f>_xlchart.10</cx:f>
      </cx:numDim>
    </cx:data>
    <cx:data id="2">
      <cx:strDim type="cat">
        <cx:f>_xlchart.6</cx:f>
      </cx:strDim>
      <cx:numDim type="val">
        <cx:f>_xlchart.12</cx:f>
      </cx:numDim>
    </cx:data>
  </cx:chartData>
  <cx:chart>
    <cx:plotArea>
      <cx:plotAreaRegion>
        <cx:series layoutId="waterfall" uniqueId="{F6C14018-C7E9-47F1-B332-ACA54C438FC7}" formatIdx="0">
          <cx:tx>
            <cx:txData>
              <cx:f>_xlchart.7</cx:f>
              <cx:v>start date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C0972CBE-9970-45CE-A8FE-DA14193259A3}" formatIdx="1">
          <cx:tx>
            <cx:txData>
              <cx:f>_xlchart.9</cx:f>
              <cx:v>Planned 
End Date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95180C8B-5298-47D8-A4FE-E49799706221}" formatIdx="2">
          <cx:tx>
            <cx:txData>
              <cx:f>_xlchart.11</cx:f>
              <cx:v>Work Days Planned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chart'!$D$6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chart'!$C$7:$C$17</c:f>
              <c:strCache>
                <c:ptCount val="11"/>
                <c:pt idx="0">
                  <c:v>Main task 2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'Gantt chart'!$D$7:$D$17</c:f>
              <c:numCache>
                <c:formatCode>dd\-mmm\-yy;;</c:formatCode>
                <c:ptCount val="11"/>
                <c:pt idx="0" formatCode="d\-mmm\-yy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6-47F9-9759-C4996ED3025A}"/>
            </c:ext>
          </c:extLst>
        </c:ser>
        <c:ser>
          <c:idx val="2"/>
          <c:order val="1"/>
          <c:tx>
            <c:strRef>
              <c:f>'Gantt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'Gantt chart'!$F$7:$F$17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6-47F9-9759-C4996ED30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100"/>
        <c:axId val="1614711327"/>
        <c:axId val="1614728799"/>
      </c:barChart>
      <c:catAx>
        <c:axId val="16147113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28799"/>
        <c:crosses val="autoZero"/>
        <c:auto val="1"/>
        <c:lblAlgn val="ctr"/>
        <c:lblOffset val="100"/>
        <c:noMultiLvlLbl val="0"/>
      </c:catAx>
      <c:valAx>
        <c:axId val="1614728799"/>
        <c:scaling>
          <c:orientation val="minMax"/>
          <c:max val="40240"/>
          <c:min val="400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1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408941</xdr:colOff>
      <xdr:row>6</xdr:row>
      <xdr:rowOff>92710</xdr:rowOff>
    </xdr:from>
    <xdr:to>
      <xdr:col>18</xdr:col>
      <xdr:colOff>332741</xdr:colOff>
      <xdr:row>16</xdr:row>
      <xdr:rowOff>92234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86E88E-55C4-E22C-847C-E6D6AF3E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5422" y="1174562"/>
          <a:ext cx="4815652" cy="1802610"/>
        </a:xfrm>
        <a:prstGeom prst="rect">
          <a:avLst/>
        </a:prstGeom>
      </xdr:spPr>
    </xdr:pic>
    <xdr:clientData/>
  </xdr:twoCellAnchor>
  <xdr:twoCellAnchor>
    <xdr:from>
      <xdr:col>4</xdr:col>
      <xdr:colOff>265327</xdr:colOff>
      <xdr:row>12</xdr:row>
      <xdr:rowOff>169686</xdr:rowOff>
    </xdr:from>
    <xdr:to>
      <xdr:col>13</xdr:col>
      <xdr:colOff>410319</xdr:colOff>
      <xdr:row>27</xdr:row>
      <xdr:rowOff>150637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159252</xdr:colOff>
      <xdr:row>6</xdr:row>
      <xdr:rowOff>144782</xdr:rowOff>
    </xdr:from>
    <xdr:to>
      <xdr:col>21</xdr:col>
      <xdr:colOff>602706</xdr:colOff>
      <xdr:row>19</xdr:row>
      <xdr:rowOff>45722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49043-CFB3-29BF-E4E9-35DA23BD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4543" y="1252340"/>
          <a:ext cx="4120547" cy="2300649"/>
        </a:xfrm>
        <a:prstGeom prst="rect">
          <a:avLst/>
        </a:prstGeom>
      </xdr:spPr>
    </xdr:pic>
    <xdr:clientData/>
  </xdr:twoCellAnchor>
  <xdr:twoCellAnchor editAs="oneCell">
    <xdr:from>
      <xdr:col>4</xdr:col>
      <xdr:colOff>271182</xdr:colOff>
      <xdr:row>14</xdr:row>
      <xdr:rowOff>149561</xdr:rowOff>
    </xdr:from>
    <xdr:to>
      <xdr:col>15</xdr:col>
      <xdr:colOff>95281</xdr:colOff>
      <xdr:row>31</xdr:row>
      <xdr:rowOff>176490</xdr:rowOff>
    </xdr:to>
    <xdr:graphicFrame macro="">
      <xdr:nvGraphicFramePr>
        <xdr:cNvPr id="4" name="Chart 3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5</xdr:row>
      <xdr:rowOff>49530</xdr:rowOff>
    </xdr:from>
    <xdr:to>
      <xdr:col>18</xdr:col>
      <xdr:colOff>466295</xdr:colOff>
      <xdr:row>16</xdr:row>
      <xdr:rowOff>115146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4B4447-9F0E-E66F-1415-68013CBD2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2883" y="949113"/>
          <a:ext cx="3421162" cy="2044700"/>
        </a:xfrm>
        <a:prstGeom prst="rect">
          <a:avLst/>
        </a:prstGeom>
      </xdr:spPr>
    </xdr:pic>
    <xdr:clientData/>
  </xdr:twoCellAnchor>
  <xdr:twoCellAnchor>
    <xdr:from>
      <xdr:col>4</xdr:col>
      <xdr:colOff>244475</xdr:colOff>
      <xdr:row>4</xdr:row>
      <xdr:rowOff>161925</xdr:rowOff>
    </xdr:from>
    <xdr:to>
      <xdr:col>11</xdr:col>
      <xdr:colOff>549275</xdr:colOff>
      <xdr:row>19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473356</xdr:colOff>
      <xdr:row>0</xdr:row>
      <xdr:rowOff>80010</xdr:rowOff>
    </xdr:from>
    <xdr:to>
      <xdr:col>16</xdr:col>
      <xdr:colOff>37491</xdr:colOff>
      <xdr:row>16</xdr:row>
      <xdr:rowOff>125730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2D7DE6-AAF3-216F-5EEF-D7C35776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0656" y="80010"/>
          <a:ext cx="6269735" cy="2992120"/>
        </a:xfrm>
        <a:prstGeom prst="rect">
          <a:avLst/>
        </a:prstGeom>
      </xdr:spPr>
    </xdr:pic>
    <xdr:clientData/>
  </xdr:twoCellAnchor>
  <xdr:twoCellAnchor>
    <xdr:from>
      <xdr:col>2</xdr:col>
      <xdr:colOff>1092200</xdr:colOff>
      <xdr:row>7</xdr:row>
      <xdr:rowOff>120651</xdr:rowOff>
    </xdr:from>
    <xdr:to>
      <xdr:col>12</xdr:col>
      <xdr:colOff>222250</xdr:colOff>
      <xdr:row>21</xdr:row>
      <xdr:rowOff>38101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402185</xdr:colOff>
      <xdr:row>7</xdr:row>
      <xdr:rowOff>94353</xdr:rowOff>
    </xdr:from>
    <xdr:to>
      <xdr:col>25</xdr:col>
      <xdr:colOff>585066</xdr:colOff>
      <xdr:row>24</xdr:row>
      <xdr:rowOff>113703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FF352-C61E-FE9C-4208-A698E22D9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240</xdr:col>
      <xdr:colOff>530901</xdr:colOff>
      <xdr:row>142</xdr:row>
      <xdr:rowOff>166557</xdr:rowOff>
    </xdr:from>
    <xdr:to>
      <xdr:col>241</xdr:col>
      <xdr:colOff>41639</xdr:colOff>
      <xdr:row>144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463099</xdr:colOff>
      <xdr:row>6</xdr:row>
      <xdr:rowOff>154367</xdr:rowOff>
    </xdr:from>
    <xdr:to>
      <xdr:col>16</xdr:col>
      <xdr:colOff>31801</xdr:colOff>
      <xdr:row>23</xdr:row>
      <xdr:rowOff>176457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BFF352-C61E-FE9C-4208-A698E22D9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0"/>
  <sheetViews>
    <sheetView tabSelected="1" topLeftCell="A4" zoomScale="81" workbookViewId="0">
      <selection activeCell="R21" sqref="R21"/>
    </sheetView>
  </sheetViews>
  <sheetFormatPr defaultRowHeight="14.5" x14ac:dyDescent="0.35"/>
  <cols>
    <col min="4" max="4" width="11.81640625" bestFit="1" customWidth="1"/>
  </cols>
  <sheetData>
    <row r="2" spans="3:4" x14ac:dyDescent="0.35">
      <c r="C2" s="7" t="s">
        <v>2</v>
      </c>
    </row>
    <row r="3" spans="3:4" x14ac:dyDescent="0.35">
      <c r="C3" s="7" t="s">
        <v>3</v>
      </c>
    </row>
    <row r="5" spans="3:4" x14ac:dyDescent="0.35">
      <c r="C5" s="8" t="s">
        <v>0</v>
      </c>
      <c r="D5" s="8" t="s">
        <v>1</v>
      </c>
    </row>
    <row r="6" spans="3:4" x14ac:dyDescent="0.35">
      <c r="C6" s="4">
        <v>1990</v>
      </c>
      <c r="D6" s="10">
        <v>2156</v>
      </c>
    </row>
    <row r="7" spans="3:4" x14ac:dyDescent="0.35">
      <c r="C7" s="4">
        <v>1991</v>
      </c>
      <c r="D7" s="10">
        <v>3562</v>
      </c>
    </row>
    <row r="8" spans="3:4" x14ac:dyDescent="0.35">
      <c r="C8" s="4">
        <v>1992</v>
      </c>
      <c r="D8" s="10">
        <v>7506</v>
      </c>
    </row>
    <row r="9" spans="3:4" x14ac:dyDescent="0.35">
      <c r="C9" s="4">
        <v>1993</v>
      </c>
      <c r="D9" s="10">
        <v>6258</v>
      </c>
    </row>
    <row r="10" spans="3:4" x14ac:dyDescent="0.35">
      <c r="C10" s="4">
        <v>1994</v>
      </c>
      <c r="D10" s="10">
        <v>6279</v>
      </c>
    </row>
    <row r="11" spans="3:4" x14ac:dyDescent="0.35">
      <c r="C11" s="4">
        <v>1995</v>
      </c>
      <c r="D11" s="10">
        <v>1963</v>
      </c>
    </row>
    <row r="12" spans="3:4" x14ac:dyDescent="0.35">
      <c r="C12" s="4">
        <v>1996</v>
      </c>
      <c r="D12" s="10">
        <v>6736</v>
      </c>
    </row>
    <row r="13" spans="3:4" x14ac:dyDescent="0.35">
      <c r="C13" s="4">
        <v>1997</v>
      </c>
      <c r="D13" s="10">
        <v>3280</v>
      </c>
    </row>
    <row r="14" spans="3:4" x14ac:dyDescent="0.35">
      <c r="C14" s="4">
        <v>1998</v>
      </c>
      <c r="D14" s="10">
        <v>8398</v>
      </c>
    </row>
    <row r="15" spans="3:4" x14ac:dyDescent="0.35">
      <c r="C15" s="4">
        <v>1999</v>
      </c>
      <c r="D15" s="10">
        <v>2882</v>
      </c>
    </row>
    <row r="16" spans="3:4" x14ac:dyDescent="0.35">
      <c r="C16" s="4">
        <v>2000</v>
      </c>
      <c r="D16" s="10">
        <v>4686</v>
      </c>
    </row>
    <row r="17" spans="3:4" x14ac:dyDescent="0.35">
      <c r="C17" s="4">
        <v>2001</v>
      </c>
      <c r="D17" s="10">
        <v>6976</v>
      </c>
    </row>
    <row r="18" spans="3:4" x14ac:dyDescent="0.35">
      <c r="C18" s="4">
        <v>2002</v>
      </c>
      <c r="D18" s="10">
        <v>2173</v>
      </c>
    </row>
    <row r="19" spans="3:4" x14ac:dyDescent="0.35">
      <c r="C19" s="4">
        <v>2003</v>
      </c>
      <c r="D19" s="10">
        <v>2166</v>
      </c>
    </row>
    <row r="20" spans="3:4" x14ac:dyDescent="0.35">
      <c r="C20" s="5">
        <v>2004</v>
      </c>
      <c r="D20" s="11">
        <v>8418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25"/>
  <sheetViews>
    <sheetView topLeftCell="B3" zoomScale="73" workbookViewId="0">
      <selection activeCell="J10" sqref="J10"/>
    </sheetView>
  </sheetViews>
  <sheetFormatPr defaultRowHeight="14.5" x14ac:dyDescent="0.35"/>
  <cols>
    <col min="4" max="4" width="11.81640625" bestFit="1" customWidth="1"/>
    <col min="5" max="5" width="10.26953125" bestFit="1" customWidth="1"/>
    <col min="7" max="7" width="11" customWidth="1"/>
  </cols>
  <sheetData>
    <row r="2" spans="3:7" x14ac:dyDescent="0.35">
      <c r="C2" s="7" t="s">
        <v>7</v>
      </c>
    </row>
    <row r="3" spans="3:7" x14ac:dyDescent="0.35">
      <c r="C3" s="7"/>
    </row>
    <row r="5" spans="3:7" x14ac:dyDescent="0.35">
      <c r="C5" s="1" t="s">
        <v>0</v>
      </c>
      <c r="D5" s="2" t="s">
        <v>1</v>
      </c>
      <c r="E5" s="2" t="s">
        <v>6</v>
      </c>
      <c r="F5" s="16" t="s">
        <v>5</v>
      </c>
    </row>
    <row r="6" spans="3:7" x14ac:dyDescent="0.35">
      <c r="C6" s="4">
        <v>2005</v>
      </c>
      <c r="D6" s="3">
        <v>528</v>
      </c>
      <c r="E6" s="14"/>
      <c r="F6" s="13"/>
    </row>
    <row r="7" spans="3:7" x14ac:dyDescent="0.35">
      <c r="C7" s="4">
        <v>2006</v>
      </c>
      <c r="D7" s="3">
        <v>4550</v>
      </c>
      <c r="E7" s="15">
        <f>SUM($D$6:D7)</f>
        <v>5078</v>
      </c>
      <c r="F7" s="14">
        <f>E7/$E$23</f>
        <v>6.5615712624370076E-2</v>
      </c>
      <c r="G7" s="31"/>
    </row>
    <row r="8" spans="3:7" x14ac:dyDescent="0.35">
      <c r="C8" s="4">
        <v>2007</v>
      </c>
      <c r="D8" s="3">
        <v>8189</v>
      </c>
      <c r="E8" s="15">
        <f>SUM($D$6:D8)</f>
        <v>13267</v>
      </c>
      <c r="F8" s="14">
        <f t="shared" ref="F8:F23" si="0">E8/$E$23</f>
        <v>0.17143041736658482</v>
      </c>
      <c r="G8" s="31"/>
    </row>
    <row r="9" spans="3:7" x14ac:dyDescent="0.35">
      <c r="C9" s="4">
        <v>2008</v>
      </c>
      <c r="D9" s="3">
        <v>1730</v>
      </c>
      <c r="E9" s="15">
        <f>SUM($D$6:D9)</f>
        <v>14997</v>
      </c>
      <c r="F9" s="14">
        <f t="shared" si="0"/>
        <v>0.19378472670887711</v>
      </c>
      <c r="G9" s="31"/>
    </row>
    <row r="10" spans="3:7" x14ac:dyDescent="0.35">
      <c r="C10" s="4">
        <v>2009</v>
      </c>
      <c r="D10" s="3">
        <v>5262</v>
      </c>
      <c r="E10" s="15">
        <f>SUM($D$6:D10)</f>
        <v>20259</v>
      </c>
      <c r="F10" s="14">
        <f t="shared" si="0"/>
        <v>0.26177800749450836</v>
      </c>
      <c r="G10" s="31"/>
    </row>
    <row r="11" spans="3:7" x14ac:dyDescent="0.35">
      <c r="C11" s="4">
        <v>2010</v>
      </c>
      <c r="D11" s="3">
        <v>2172</v>
      </c>
      <c r="E11" s="15">
        <f>SUM($D$6:D11)</f>
        <v>22431</v>
      </c>
      <c r="F11" s="14">
        <f t="shared" si="0"/>
        <v>0.28984364905026488</v>
      </c>
      <c r="G11" s="31"/>
    </row>
    <row r="12" spans="3:7" x14ac:dyDescent="0.35">
      <c r="C12" s="4">
        <v>2011</v>
      </c>
      <c r="D12" s="3">
        <v>4384</v>
      </c>
      <c r="E12" s="15">
        <f>SUM($D$6:D12)</f>
        <v>26815</v>
      </c>
      <c r="F12" s="14">
        <f t="shared" si="0"/>
        <v>0.34649179480553044</v>
      </c>
      <c r="G12" s="31"/>
    </row>
    <row r="13" spans="3:7" x14ac:dyDescent="0.35">
      <c r="C13" s="4">
        <v>2012</v>
      </c>
      <c r="D13" s="3">
        <v>8709</v>
      </c>
      <c r="E13" s="15">
        <f>SUM($D$6:D13)</f>
        <v>35524</v>
      </c>
      <c r="F13" s="14">
        <f t="shared" si="0"/>
        <v>0.45902571391652669</v>
      </c>
      <c r="G13" s="31"/>
    </row>
    <row r="14" spans="3:7" x14ac:dyDescent="0.35">
      <c r="C14" s="4">
        <v>2013</v>
      </c>
      <c r="D14" s="3">
        <v>3618</v>
      </c>
      <c r="E14" s="15">
        <f>SUM($D$6:D14)</f>
        <v>39142</v>
      </c>
      <c r="F14" s="14">
        <f t="shared" si="0"/>
        <v>0.50577594004393334</v>
      </c>
      <c r="G14" s="31"/>
    </row>
    <row r="15" spans="3:7" x14ac:dyDescent="0.35">
      <c r="C15" s="4">
        <v>2014</v>
      </c>
      <c r="D15" s="3">
        <v>6372</v>
      </c>
      <c r="E15" s="15">
        <f>SUM($D$6:D15)</f>
        <v>45514</v>
      </c>
      <c r="F15" s="14">
        <f t="shared" si="0"/>
        <v>0.58811215919369431</v>
      </c>
      <c r="G15" s="31"/>
    </row>
    <row r="16" spans="3:7" x14ac:dyDescent="0.35">
      <c r="C16" s="4">
        <v>2015</v>
      </c>
      <c r="D16" s="3">
        <v>3456</v>
      </c>
      <c r="E16" s="15">
        <f>SUM($D$6:D16)</f>
        <v>48970</v>
      </c>
      <c r="F16" s="14">
        <f t="shared" si="0"/>
        <v>0.6327690916139036</v>
      </c>
      <c r="G16" s="31"/>
    </row>
    <row r="17" spans="3:7" x14ac:dyDescent="0.35">
      <c r="C17" s="4">
        <v>2016</v>
      </c>
      <c r="D17" s="3">
        <v>7478</v>
      </c>
      <c r="E17" s="15">
        <f>SUM($D$6:D17)</f>
        <v>56448</v>
      </c>
      <c r="F17" s="14">
        <f t="shared" si="0"/>
        <v>0.72939656286341903</v>
      </c>
      <c r="G17" s="31"/>
    </row>
    <row r="18" spans="3:7" x14ac:dyDescent="0.35">
      <c r="C18" s="4">
        <v>2017</v>
      </c>
      <c r="D18" s="3">
        <v>4649</v>
      </c>
      <c r="E18" s="15">
        <f>SUM($D$6:D18)</f>
        <v>61097</v>
      </c>
      <c r="F18" s="14">
        <f t="shared" si="0"/>
        <v>0.78946892363354437</v>
      </c>
      <c r="G18" s="31"/>
    </row>
    <row r="19" spans="3:7" x14ac:dyDescent="0.35">
      <c r="C19" s="4">
        <v>2018</v>
      </c>
      <c r="D19" s="3">
        <v>5831</v>
      </c>
      <c r="E19" s="15">
        <f>SUM($D$6:D19)</f>
        <v>66928</v>
      </c>
      <c r="F19" s="14">
        <f t="shared" si="0"/>
        <v>0.86481457552655383</v>
      </c>
      <c r="G19" s="31"/>
    </row>
    <row r="20" spans="3:7" x14ac:dyDescent="0.35">
      <c r="C20" s="4">
        <v>2019</v>
      </c>
      <c r="D20" s="3">
        <v>1599</v>
      </c>
      <c r="E20" s="15">
        <f>SUM($D$6:D20)</f>
        <v>68527</v>
      </c>
      <c r="F20" s="14">
        <f t="shared" si="0"/>
        <v>0.88547615971055693</v>
      </c>
      <c r="G20" s="31"/>
    </row>
    <row r="21" spans="3:7" x14ac:dyDescent="0.35">
      <c r="C21" s="4">
        <v>2020</v>
      </c>
      <c r="D21" s="3">
        <v>3695</v>
      </c>
      <c r="E21" s="15">
        <f>SUM($D$6:D21)</f>
        <v>72222</v>
      </c>
      <c r="F21" s="14">
        <f t="shared" si="0"/>
        <v>0.93322134642718702</v>
      </c>
      <c r="G21" s="31"/>
    </row>
    <row r="22" spans="3:7" x14ac:dyDescent="0.35">
      <c r="C22" s="4">
        <v>2021</v>
      </c>
      <c r="D22" s="3">
        <v>1678</v>
      </c>
      <c r="E22" s="15">
        <f>SUM($D$6:D22)</f>
        <v>73900</v>
      </c>
      <c r="F22" s="14">
        <f t="shared" si="0"/>
        <v>0.95490373433260112</v>
      </c>
      <c r="G22" s="31"/>
    </row>
    <row r="23" spans="3:7" x14ac:dyDescent="0.35">
      <c r="C23" s="5">
        <v>2022</v>
      </c>
      <c r="D23" s="6">
        <v>3490</v>
      </c>
      <c r="E23" s="15">
        <f>SUM($D$6:D23)</f>
        <v>77390</v>
      </c>
      <c r="F23" s="14">
        <f t="shared" si="0"/>
        <v>1</v>
      </c>
      <c r="G23" s="31"/>
    </row>
    <row r="25" spans="3:7" x14ac:dyDescent="0.35">
      <c r="C25" t="s">
        <v>4</v>
      </c>
      <c r="D25" s="12">
        <f>SUM(D6:D23)</f>
        <v>77390</v>
      </c>
      <c r="E25" s="29"/>
      <c r="F25" s="3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7"/>
  <sheetViews>
    <sheetView topLeftCell="B1" zoomScale="60" zoomScaleNormal="60" workbookViewId="0">
      <selection activeCell="Y16" sqref="Y16"/>
    </sheetView>
  </sheetViews>
  <sheetFormatPr defaultRowHeight="14.5" x14ac:dyDescent="0.35"/>
  <cols>
    <col min="3" max="3" width="11" bestFit="1" customWidth="1"/>
  </cols>
  <sheetData>
    <row r="2" spans="3:4" x14ac:dyDescent="0.35">
      <c r="C2" s="7" t="s">
        <v>10</v>
      </c>
    </row>
    <row r="3" spans="3:4" x14ac:dyDescent="0.35">
      <c r="C3" s="7" t="s">
        <v>3</v>
      </c>
    </row>
    <row r="4" spans="3:4" x14ac:dyDescent="0.35">
      <c r="C4" s="7"/>
    </row>
    <row r="5" spans="3:4" x14ac:dyDescent="0.35">
      <c r="C5" s="17" t="s">
        <v>8</v>
      </c>
      <c r="D5" s="17" t="s">
        <v>9</v>
      </c>
    </row>
    <row r="6" spans="3:4" x14ac:dyDescent="0.35">
      <c r="C6" s="18">
        <v>130</v>
      </c>
      <c r="D6" s="18">
        <v>3504</v>
      </c>
    </row>
    <row r="7" spans="3:4" x14ac:dyDescent="0.35">
      <c r="C7" s="19">
        <v>165</v>
      </c>
      <c r="D7" s="19">
        <v>3693</v>
      </c>
    </row>
    <row r="8" spans="3:4" x14ac:dyDescent="0.35">
      <c r="C8" s="18">
        <v>150</v>
      </c>
      <c r="D8" s="18">
        <v>3436</v>
      </c>
    </row>
    <row r="9" spans="3:4" x14ac:dyDescent="0.35">
      <c r="C9" s="19">
        <v>150</v>
      </c>
      <c r="D9" s="19">
        <v>3433</v>
      </c>
    </row>
    <row r="10" spans="3:4" x14ac:dyDescent="0.35">
      <c r="C10" s="18">
        <v>140</v>
      </c>
      <c r="D10" s="18">
        <v>3449</v>
      </c>
    </row>
    <row r="11" spans="3:4" x14ac:dyDescent="0.35">
      <c r="C11" s="19">
        <v>198</v>
      </c>
      <c r="D11" s="19">
        <v>4341</v>
      </c>
    </row>
    <row r="12" spans="3:4" x14ac:dyDescent="0.35">
      <c r="C12" s="18">
        <v>220</v>
      </c>
      <c r="D12" s="18">
        <v>4354</v>
      </c>
    </row>
    <row r="13" spans="3:4" x14ac:dyDescent="0.35">
      <c r="C13" s="19">
        <v>215</v>
      </c>
      <c r="D13" s="19">
        <v>4312</v>
      </c>
    </row>
    <row r="14" spans="3:4" x14ac:dyDescent="0.35">
      <c r="C14" s="18">
        <v>225</v>
      </c>
      <c r="D14" s="18">
        <v>4425</v>
      </c>
    </row>
    <row r="15" spans="3:4" x14ac:dyDescent="0.35">
      <c r="C15" s="19">
        <v>190</v>
      </c>
      <c r="D15" s="19">
        <v>3850</v>
      </c>
    </row>
    <row r="16" spans="3:4" x14ac:dyDescent="0.35">
      <c r="C16" s="18">
        <v>170</v>
      </c>
      <c r="D16" s="18">
        <v>3563</v>
      </c>
    </row>
    <row r="17" spans="3:4" x14ac:dyDescent="0.35">
      <c r="C17" s="19">
        <v>160</v>
      </c>
      <c r="D17" s="19">
        <v>3609</v>
      </c>
    </row>
    <row r="18" spans="3:4" x14ac:dyDescent="0.35">
      <c r="C18" s="18">
        <v>150</v>
      </c>
      <c r="D18" s="18">
        <v>3761</v>
      </c>
    </row>
    <row r="19" spans="3:4" x14ac:dyDescent="0.35">
      <c r="C19" s="19">
        <v>225</v>
      </c>
      <c r="D19" s="19">
        <v>3086</v>
      </c>
    </row>
    <row r="20" spans="3:4" x14ac:dyDescent="0.35">
      <c r="C20" s="18">
        <v>95</v>
      </c>
      <c r="D20" s="18">
        <v>2372</v>
      </c>
    </row>
    <row r="21" spans="3:4" x14ac:dyDescent="0.35">
      <c r="C21" s="19">
        <v>95</v>
      </c>
      <c r="D21" s="19">
        <v>2833</v>
      </c>
    </row>
    <row r="22" spans="3:4" x14ac:dyDescent="0.35">
      <c r="C22" s="18">
        <v>97</v>
      </c>
      <c r="D22" s="18">
        <v>2774</v>
      </c>
    </row>
    <row r="23" spans="3:4" x14ac:dyDescent="0.35">
      <c r="C23" s="19">
        <v>85</v>
      </c>
      <c r="D23" s="19">
        <v>2587</v>
      </c>
    </row>
    <row r="24" spans="3:4" x14ac:dyDescent="0.35">
      <c r="C24" s="18">
        <v>88</v>
      </c>
      <c r="D24" s="18">
        <v>2130</v>
      </c>
    </row>
    <row r="25" spans="3:4" x14ac:dyDescent="0.35">
      <c r="C25" s="19">
        <v>46</v>
      </c>
      <c r="D25" s="19">
        <v>1835</v>
      </c>
    </row>
    <row r="26" spans="3:4" x14ac:dyDescent="0.35">
      <c r="C26" s="18">
        <v>87</v>
      </c>
      <c r="D26" s="18">
        <v>2672</v>
      </c>
    </row>
    <row r="27" spans="3:4" x14ac:dyDescent="0.35">
      <c r="C27" s="19">
        <v>90</v>
      </c>
      <c r="D27" s="19">
        <v>2430</v>
      </c>
    </row>
    <row r="28" spans="3:4" x14ac:dyDescent="0.35">
      <c r="C28" s="18">
        <v>95</v>
      </c>
      <c r="D28" s="18">
        <v>2375</v>
      </c>
    </row>
    <row r="29" spans="3:4" x14ac:dyDescent="0.35">
      <c r="C29" s="19">
        <v>113</v>
      </c>
      <c r="D29" s="19">
        <v>2234</v>
      </c>
    </row>
    <row r="30" spans="3:4" x14ac:dyDescent="0.35">
      <c r="C30" s="18">
        <v>90</v>
      </c>
      <c r="D30" s="18">
        <v>2648</v>
      </c>
    </row>
    <row r="31" spans="3:4" x14ac:dyDescent="0.35">
      <c r="C31" s="19">
        <v>215</v>
      </c>
      <c r="D31" s="19">
        <v>4615</v>
      </c>
    </row>
    <row r="32" spans="3:4" x14ac:dyDescent="0.35">
      <c r="C32" s="18">
        <v>200</v>
      </c>
      <c r="D32" s="18">
        <v>4376</v>
      </c>
    </row>
    <row r="33" spans="3:4" x14ac:dyDescent="0.35">
      <c r="C33" s="19">
        <v>210</v>
      </c>
      <c r="D33" s="19">
        <v>4382</v>
      </c>
    </row>
    <row r="34" spans="3:4" x14ac:dyDescent="0.35">
      <c r="C34" s="18">
        <v>193</v>
      </c>
      <c r="D34" s="18">
        <v>4732</v>
      </c>
    </row>
    <row r="35" spans="3:4" x14ac:dyDescent="0.35">
      <c r="C35" s="19">
        <v>88</v>
      </c>
      <c r="D35" s="19">
        <v>2130</v>
      </c>
    </row>
    <row r="36" spans="3:4" x14ac:dyDescent="0.35">
      <c r="C36" s="18">
        <v>90</v>
      </c>
      <c r="D36" s="18">
        <v>2264</v>
      </c>
    </row>
    <row r="37" spans="3:4" x14ac:dyDescent="0.35">
      <c r="C37" s="19">
        <v>95</v>
      </c>
      <c r="D37" s="19">
        <v>2228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7"/>
  <sheetViews>
    <sheetView workbookViewId="0">
      <selection activeCell="E6" sqref="E6"/>
    </sheetView>
  </sheetViews>
  <sheetFormatPr defaultRowHeight="14.5" x14ac:dyDescent="0.35"/>
  <cols>
    <col min="3" max="3" width="16" bestFit="1" customWidth="1"/>
    <col min="4" max="4" width="12.6328125" bestFit="1" customWidth="1"/>
    <col min="5" max="5" width="15.36328125" bestFit="1" customWidth="1"/>
    <col min="6" max="6" width="11.08984375" bestFit="1" customWidth="1"/>
    <col min="7" max="7" width="14.08984375" bestFit="1" customWidth="1"/>
    <col min="8" max="8" width="12.08984375" customWidth="1"/>
  </cols>
  <sheetData>
    <row r="2" spans="3:4" x14ac:dyDescent="0.35">
      <c r="C2" s="7" t="s">
        <v>25</v>
      </c>
    </row>
    <row r="3" spans="3:4" x14ac:dyDescent="0.35">
      <c r="C3" s="7" t="s">
        <v>3</v>
      </c>
    </row>
    <row r="5" spans="3:4" x14ac:dyDescent="0.35">
      <c r="C5" s="13" t="s">
        <v>11</v>
      </c>
      <c r="D5" s="13" t="s">
        <v>12</v>
      </c>
    </row>
    <row r="6" spans="3:4" x14ac:dyDescent="0.35">
      <c r="C6" s="13" t="s">
        <v>24</v>
      </c>
      <c r="D6" s="9">
        <v>100000</v>
      </c>
    </row>
    <row r="7" spans="3:4" x14ac:dyDescent="0.35">
      <c r="C7" s="13" t="s">
        <v>14</v>
      </c>
      <c r="D7" s="9">
        <v>-25000</v>
      </c>
    </row>
    <row r="8" spans="3:4" x14ac:dyDescent="0.35">
      <c r="C8" s="13" t="s">
        <v>15</v>
      </c>
      <c r="D8" s="9">
        <v>10000</v>
      </c>
    </row>
    <row r="9" spans="3:4" x14ac:dyDescent="0.35">
      <c r="C9" s="13" t="s">
        <v>16</v>
      </c>
      <c r="D9" s="9">
        <v>14000</v>
      </c>
    </row>
    <row r="10" spans="3:4" x14ac:dyDescent="0.35">
      <c r="C10" s="13" t="s">
        <v>17</v>
      </c>
      <c r="D10" s="9">
        <v>-15000</v>
      </c>
    </row>
    <row r="11" spans="3:4" x14ac:dyDescent="0.35">
      <c r="C11" s="13" t="s">
        <v>18</v>
      </c>
      <c r="D11" s="9">
        <v>-5000</v>
      </c>
    </row>
    <row r="12" spans="3:4" x14ac:dyDescent="0.35">
      <c r="C12" s="13" t="s">
        <v>19</v>
      </c>
      <c r="D12" s="9">
        <v>7000</v>
      </c>
    </row>
    <row r="13" spans="3:4" x14ac:dyDescent="0.35">
      <c r="C13" s="13" t="s">
        <v>20</v>
      </c>
      <c r="D13" s="9">
        <v>8500</v>
      </c>
    </row>
    <row r="14" spans="3:4" x14ac:dyDescent="0.35">
      <c r="C14" s="13" t="s">
        <v>21</v>
      </c>
      <c r="D14" s="9">
        <v>-10000</v>
      </c>
    </row>
    <row r="15" spans="3:4" x14ac:dyDescent="0.35">
      <c r="C15" s="13" t="s">
        <v>22</v>
      </c>
      <c r="D15" s="9">
        <v>-16000</v>
      </c>
    </row>
    <row r="16" spans="3:4" x14ac:dyDescent="0.35">
      <c r="C16" s="13" t="s">
        <v>23</v>
      </c>
      <c r="D16" s="9">
        <v>10000</v>
      </c>
    </row>
    <row r="17" spans="3:4" x14ac:dyDescent="0.35">
      <c r="C17" s="13" t="s">
        <v>13</v>
      </c>
      <c r="D17" s="9">
        <f>SUM(D6:D16)</f>
        <v>78500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F17"/>
  <sheetViews>
    <sheetView zoomScale="61" workbookViewId="0">
      <selection activeCell="W6" sqref="W6"/>
    </sheetView>
  </sheetViews>
  <sheetFormatPr defaultRowHeight="14.5" x14ac:dyDescent="0.35"/>
  <cols>
    <col min="3" max="3" width="14.36328125" bestFit="1" customWidth="1"/>
  </cols>
  <sheetData>
    <row r="6" spans="3:6" ht="30" x14ac:dyDescent="0.35">
      <c r="C6" s="24" t="s">
        <v>26</v>
      </c>
      <c r="D6" s="25" t="s">
        <v>36</v>
      </c>
      <c r="E6" s="25" t="s">
        <v>27</v>
      </c>
      <c r="F6" s="23" t="s">
        <v>28</v>
      </c>
    </row>
    <row r="7" spans="3:6" x14ac:dyDescent="0.35">
      <c r="C7" s="26" t="s">
        <v>35</v>
      </c>
      <c r="D7" s="20">
        <v>40081</v>
      </c>
      <c r="E7" s="20">
        <v>40240</v>
      </c>
      <c r="F7" s="27">
        <f>E7-D7</f>
        <v>159</v>
      </c>
    </row>
    <row r="8" spans="3:6" x14ac:dyDescent="0.35">
      <c r="C8" s="21" t="s">
        <v>29</v>
      </c>
      <c r="D8" s="22">
        <v>40081</v>
      </c>
      <c r="E8" s="22">
        <v>40195</v>
      </c>
      <c r="F8" s="27">
        <f>E8-D8</f>
        <v>114</v>
      </c>
    </row>
    <row r="9" spans="3:6" x14ac:dyDescent="0.35">
      <c r="C9" s="21" t="s">
        <v>30</v>
      </c>
      <c r="D9" s="22">
        <v>40119</v>
      </c>
      <c r="E9" s="22">
        <v>40207</v>
      </c>
      <c r="F9" s="27">
        <f t="shared" ref="F9:F17" si="0">E9-D9</f>
        <v>88</v>
      </c>
    </row>
    <row r="10" spans="3:6" x14ac:dyDescent="0.35">
      <c r="C10" s="21" t="s">
        <v>31</v>
      </c>
      <c r="D10" s="22">
        <v>40148</v>
      </c>
      <c r="E10" s="22">
        <v>40168</v>
      </c>
      <c r="F10" s="27">
        <f t="shared" si="0"/>
        <v>20</v>
      </c>
    </row>
    <row r="11" spans="3:6" x14ac:dyDescent="0.35">
      <c r="C11" s="21" t="s">
        <v>32</v>
      </c>
      <c r="D11" s="22">
        <v>40148</v>
      </c>
      <c r="E11" s="22">
        <v>40193</v>
      </c>
      <c r="F11" s="27">
        <f t="shared" si="0"/>
        <v>45</v>
      </c>
    </row>
    <row r="12" spans="3:6" x14ac:dyDescent="0.35">
      <c r="C12" s="21" t="s">
        <v>33</v>
      </c>
      <c r="D12" s="22">
        <v>40168</v>
      </c>
      <c r="E12" s="22">
        <v>40193</v>
      </c>
      <c r="F12" s="27">
        <f t="shared" si="0"/>
        <v>25</v>
      </c>
    </row>
    <row r="13" spans="3:6" x14ac:dyDescent="0.35">
      <c r="C13" s="21" t="s">
        <v>34</v>
      </c>
      <c r="D13" s="22">
        <v>40182</v>
      </c>
      <c r="E13" s="22">
        <v>40207</v>
      </c>
      <c r="F13" s="27">
        <f t="shared" si="0"/>
        <v>25</v>
      </c>
    </row>
    <row r="14" spans="3:6" x14ac:dyDescent="0.35">
      <c r="C14" s="21" t="s">
        <v>35</v>
      </c>
      <c r="D14" s="22">
        <v>40182</v>
      </c>
      <c r="E14" s="22">
        <v>40233</v>
      </c>
      <c r="F14" s="27">
        <f t="shared" si="0"/>
        <v>51</v>
      </c>
    </row>
    <row r="15" spans="3:6" x14ac:dyDescent="0.35">
      <c r="C15" s="21" t="s">
        <v>29</v>
      </c>
      <c r="D15" s="22">
        <v>40182</v>
      </c>
      <c r="E15" s="22">
        <v>40189</v>
      </c>
      <c r="F15" s="27">
        <f t="shared" si="0"/>
        <v>7</v>
      </c>
    </row>
    <row r="16" spans="3:6" x14ac:dyDescent="0.35">
      <c r="C16" s="21" t="s">
        <v>30</v>
      </c>
      <c r="D16" s="22">
        <v>40189</v>
      </c>
      <c r="E16" s="22">
        <v>40204</v>
      </c>
      <c r="F16" s="27">
        <f t="shared" si="0"/>
        <v>15</v>
      </c>
    </row>
    <row r="17" spans="3:6" x14ac:dyDescent="0.35">
      <c r="C17" s="21" t="s">
        <v>31</v>
      </c>
      <c r="D17" s="22">
        <v>40203</v>
      </c>
      <c r="E17" s="28">
        <v>40233</v>
      </c>
      <c r="F17" s="27">
        <f t="shared" si="0"/>
        <v>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2330E-E16E-48A5-AA7C-05C5CC66D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</vt:lpstr>
      <vt:lpstr>Charts2</vt:lpstr>
      <vt:lpstr>Scatter</vt:lpstr>
      <vt:lpstr>Waterfall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Dell 5420</cp:lastModifiedBy>
  <dcterms:created xsi:type="dcterms:W3CDTF">2022-07-29T06:27:39Z</dcterms:created>
  <dcterms:modified xsi:type="dcterms:W3CDTF">2026-01-27T14:36:42Z</dcterms:modified>
</cp:coreProperties>
</file>